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E2821D-ADA5-4949-8B40-B6C57CBA6896}" xr6:coauthVersionLast="47" xr6:coauthVersionMax="47" xr10:uidLastSave="{00000000-0000-0000-0000-000000000000}"/>
  <bookViews>
    <workbookView xWindow="-108" yWindow="-108" windowWidth="23256" windowHeight="12456" activeTab="3" xr2:uid="{E45C8A7E-3418-4CEE-B896-E68509F65052}"/>
  </bookViews>
  <sheets>
    <sheet name="Summary" sheetId="3" r:id="rId1"/>
    <sheet name="Pivot Table" sheetId="6" r:id="rId2"/>
    <sheet name="ticket" sheetId="1" r:id="rId3"/>
    <sheet name="feedbacks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F2" i="1"/>
  <c r="F3" i="1"/>
  <c r="B3" i="3"/>
  <c r="G3" i="1"/>
  <c r="C3" i="3" s="1"/>
  <c r="G2" i="1"/>
  <c r="C2" i="3" s="1"/>
  <c r="B2" i="3"/>
  <c r="B6" i="3" l="1"/>
  <c r="C6" i="3"/>
  <c r="B7" i="3"/>
  <c r="C7" i="3"/>
</calcChain>
</file>

<file path=xl/sharedStrings.xml><?xml version="1.0" encoding="utf-8"?>
<sst xmlns="http://schemas.openxmlformats.org/spreadsheetml/2006/main" count="39" uniqueCount="27">
  <si>
    <t>created_at</t>
  </si>
  <si>
    <t>outlet_id</t>
  </si>
  <si>
    <t>cms_id</t>
  </si>
  <si>
    <t>wrqy-juv-978</t>
  </si>
  <si>
    <t>vew-iuvd-12</t>
  </si>
  <si>
    <t>8woh-k3u-23b</t>
  </si>
  <si>
    <t>ticket_id </t>
  </si>
  <si>
    <t>created_at </t>
  </si>
  <si>
    <t>closed_at </t>
  </si>
  <si>
    <t>outlet_id </t>
  </si>
  <si>
    <t>isu-sjd-457 </t>
  </si>
  <si>
    <t>wrqy-juv-978 </t>
  </si>
  <si>
    <t>qer-fal-092 </t>
  </si>
  <si>
    <t>… </t>
  </si>
  <si>
    <t>feedback_at </t>
  </si>
  <si>
    <t>feedback_rating </t>
  </si>
  <si>
    <t>2021-08-21 13:26:48 </t>
  </si>
  <si>
    <t>3 </t>
  </si>
  <si>
    <t>Same Day?</t>
  </si>
  <si>
    <t>Same Hour?</t>
  </si>
  <si>
    <t>Row Labels</t>
  </si>
  <si>
    <t>Grand Total</t>
  </si>
  <si>
    <t>same day?</t>
  </si>
  <si>
    <t>same hour?</t>
  </si>
  <si>
    <t>Sum of Same Day?</t>
  </si>
  <si>
    <t>Sum of Same Hour?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</si>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</sst>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5" x14ac:knownFonts="1">
    <font>
      <sz val="11"/>
      <color theme="1"/>
      <name val="Calibri"/>
      <family val="2"/>
      <scheme val="minor"/>
    </font>
    <font>
      <sz val="9.9499999999999993"/>
      <color rgb="FF000000"/>
      <name val="Arial"/>
      <family val="2"/>
    </font>
    <font>
      <i/>
      <sz val="10.15"/>
      <color rgb="FF3C4042"/>
      <name val="Arial"/>
      <family val="2"/>
    </font>
    <font>
      <b/>
      <sz val="9.9499999999999993"/>
      <color rgb="FF000000"/>
      <name val="Arial"/>
      <family val="2"/>
    </font>
    <font>
      <i/>
      <sz val="9.949999999999999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9" xfId="0" pivotButton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5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 style="medium">
          <color rgb="FF000000"/>
        </horizontal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3.848546180554" createdVersion="8" refreshedVersion="8" minRefreshableVersion="3" recordCount="2" xr:uid="{1FBAEF7F-6EA2-4406-AC5C-3B6230D78516}">
  <cacheSource type="worksheet">
    <worksheetSource name="Table6"/>
  </cacheSource>
  <cacheFields count="7">
    <cacheField name="ticket_id " numFmtId="0">
      <sharedItems/>
    </cacheField>
    <cacheField name="created_at " numFmtId="22">
      <sharedItems containsSemiMixedTypes="0" containsNonDate="0" containsDate="1" containsString="0" minDate="2021-08-19T16:45:43" maxDate="2021-08-21T11:09:22"/>
    </cacheField>
    <cacheField name="closed_at " numFmtId="22">
      <sharedItems containsSemiMixedTypes="0" containsNonDate="0" containsDate="1" containsString="0" minDate="2021-08-21T17:13:45" maxDate="2021-08-22T12:33:32"/>
    </cacheField>
    <cacheField name="outlet_id " numFmtId="0">
      <sharedItems count="2">
        <s v="wrqy-juv-978 "/>
        <s v="8woh-k3u-23b"/>
      </sharedItems>
    </cacheField>
    <cacheField name="cms_id" numFmtId="0">
      <sharedItems containsMixedTypes="1" containsNumber="1" containsInteger="1" minValue="123" maxValue="123"/>
    </cacheField>
    <cacheField name="Same Day?" numFmtId="0">
      <sharedItems containsSemiMixedTypes="0" containsString="0" containsNumber="1" containsInteger="1" minValue="0" maxValue="1"/>
    </cacheField>
    <cacheField name="Same Hour?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isu-sjd-457 "/>
    <d v="2021-08-19T16:45:43"/>
    <d v="2021-08-22T12:33:32"/>
    <x v="0"/>
    <s v="vew-iuvd-12"/>
    <n v="0"/>
    <n v="0"/>
  </r>
  <r>
    <s v="qer-fal-092 "/>
    <d v="2021-08-21T11:09:22"/>
    <d v="2021-08-21T17:13:45"/>
    <x v="1"/>
    <n v="123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2172F-E615-4B7C-8C0D-0587B4535B9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 Day?" fld="5" baseField="0" baseItem="0"/>
    <dataField name="Sum of Same Hour?" fld="6" baseField="0" baseItem="0"/>
  </dataFields>
  <formats count="18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3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09BD27-57B3-4756-AC4B-A1E521213DA3}" name="Table9" displayName="Table9" ref="A1:C3" totalsRowShown="0" headerRowDxfId="6" dataDxfId="5" tableBorderDxfId="47">
  <autoFilter ref="A1:C3" xr:uid="{F009BD27-57B3-4756-AC4B-A1E521213DA3}"/>
  <tableColumns count="3">
    <tableColumn id="1" xr3:uid="{D8089C36-8BD2-430A-B3C7-B2C5BAAC86E1}" name="outlet_id" dataDxfId="9"/>
    <tableColumn id="2" xr3:uid="{42FFA534-3B56-45DD-844A-787E742EDFC8}" name="same day?" dataDxfId="8">
      <calculatedColumnFormula>SUMIFS(ticket!$F:$F, ticket!$D:$D, $A2)</calculatedColumnFormula>
    </tableColumn>
    <tableColumn id="3" xr3:uid="{3D2075BD-0E65-466A-83F5-A90FA05DC5B5}" name="same hour?" dataDxfId="7">
      <calculatedColumnFormula>SUMIFS(ticket!$G:$G, ticket!$D:$D, $A2)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63B130-CDF0-4A67-848A-9F3DE591C201}" name="Table911" displayName="Table911" ref="A5:C7" totalsRowShown="0" headerRowDxfId="1" dataDxfId="0" tableBorderDxfId="46">
  <autoFilter ref="A5:C7" xr:uid="{7C63B130-CDF0-4A67-848A-9F3DE591C201}"/>
  <tableColumns count="3">
    <tableColumn id="1" xr3:uid="{3540CA86-954D-45F7-BC2B-83C772D305B4}" name="outlet_id" dataDxfId="4"/>
    <tableColumn id="2" xr3:uid="{1C9A8EEE-C205-4647-B7CD-0AAFDB92CBF5}" name="same day?" dataDxfId="3">
      <calculatedColumnFormula>COUNTIFS(ticket!$D:$D, $A6, ticket!$F:$F, 1)</calculatedColumnFormula>
    </tableColumn>
    <tableColumn id="3" xr3:uid="{EC996755-F937-4E52-9804-C499E577D2B3}" name="same hour?" dataDxfId="2">
      <calculatedColumnFormula>COUNTIFS(ticket!$D:$D, $A6, ticket!$G:$G, 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F49865-6BED-4E37-8448-C1F07ABEB735}" name="Table6" displayName="Table6" ref="A1:G3" totalsRowShown="0" headerRowDxfId="30" dataDxfId="29" headerRowBorderDxfId="44" tableBorderDxfId="45" totalsRowBorderDxfId="43">
  <autoFilter ref="A1:G3" xr:uid="{DFF49865-6BED-4E37-8448-C1F07ABEB735}"/>
  <tableColumns count="7">
    <tableColumn id="1" xr3:uid="{4B41CD71-2AB9-44E7-851E-346DB6F16F4C}" name="ticket_id " dataDxfId="36"/>
    <tableColumn id="2" xr3:uid="{6747608E-5571-4C4E-807D-A485185D3026}" name="created_at " dataDxfId="35"/>
    <tableColumn id="3" xr3:uid="{C437CC42-A010-4720-B563-8E75AE30643B}" name="closed_at " dataDxfId="34"/>
    <tableColumn id="4" xr3:uid="{C45CE977-9995-4293-8822-9303FCD4F55A}" name="outlet_id " dataDxfId="33"/>
    <tableColumn id="5" xr3:uid="{E583E53E-E91E-4DE2-BE2B-95B61E46293B}" name="cms_id" dataDxfId="32"/>
    <tableColumn id="6" xr3:uid="{A3EB9CE7-DE33-4C22-945C-4B81E9942CA9}" name="Same Day?" dataDxfId="28"/>
    <tableColumn id="7" xr3:uid="{E794CA88-B973-45E8-AB7A-99E0D12FF089}" name="Same Hour?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1AA167-72AB-430D-B209-2FB3922AA291}" name="Table5" displayName="Table5" ref="A1:D3" totalsRowShown="0" headerRowDxfId="38" dataDxfId="37" headerRowBorderDxfId="50" tableBorderDxfId="49" totalsRowBorderDxfId="48">
  <autoFilter ref="A1:D3" xr:uid="{D41AA167-72AB-430D-B209-2FB3922AA291}"/>
  <tableColumns count="4">
    <tableColumn id="1" xr3:uid="{20E10EC6-B82B-4D96-B5F2-39D83FB41B2E}" name="cms_id" dataDxfId="42"/>
    <tableColumn id="2" xr3:uid="{C570798F-FDD5-4297-B95F-32B51A4AA5FE}" name="feedback_at " dataDxfId="41"/>
    <tableColumn id="3" xr3:uid="{5DFF06B5-DA1A-4E18-B86E-52BF12665BE6}" name="feedback_rating " dataDxfId="40"/>
    <tableColumn id="4" xr3:uid="{926B1A6C-9D1F-4C7B-8A85-2E40A4D0CFFE}" name="created_at" dataDxfId="39">
      <calculatedColumnFormula xml:space="preserve">
INDEX(ticket!$B:$B,MATCH($A2,ticket!$E:$E,0))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A963-3498-4844-A969-E4BB6F673468}">
  <dimension ref="A1:C7"/>
  <sheetViews>
    <sheetView workbookViewId="0">
      <selection activeCell="E12" sqref="E12"/>
    </sheetView>
  </sheetViews>
  <sheetFormatPr defaultRowHeight="14.4" x14ac:dyDescent="0.3"/>
  <cols>
    <col min="1" max="3" width="24.109375" style="4" customWidth="1"/>
  </cols>
  <sheetData>
    <row r="1" spans="1:3" ht="15" thickBot="1" x14ac:dyDescent="0.35">
      <c r="A1" s="4" t="s">
        <v>1</v>
      </c>
      <c r="B1" s="4" t="s">
        <v>22</v>
      </c>
      <c r="C1" s="4" t="s">
        <v>23</v>
      </c>
    </row>
    <row r="2" spans="1:3" ht="27" thickBot="1" x14ac:dyDescent="0.35">
      <c r="A2" s="3" t="s">
        <v>11</v>
      </c>
      <c r="B2" s="3">
        <f>SUMIFS(ticket!$F:$F, ticket!$D:$D, $A2)</f>
        <v>0</v>
      </c>
      <c r="C2" s="3">
        <f>SUMIFS(ticket!$G:$G, ticket!$D:$D, $A2)</f>
        <v>0</v>
      </c>
    </row>
    <row r="3" spans="1:3" ht="27" thickBot="1" x14ac:dyDescent="0.35">
      <c r="A3" s="3" t="s">
        <v>5</v>
      </c>
      <c r="B3" s="5">
        <f>SUMIFS(ticket!$F:$F, ticket!$D:$D, $A3)</f>
        <v>1</v>
      </c>
      <c r="C3" s="5">
        <f>SUMIFS(ticket!$G:$G, ticket!$D:$D, $A3)</f>
        <v>0</v>
      </c>
    </row>
    <row r="5" spans="1:3" ht="15" thickBot="1" x14ac:dyDescent="0.35">
      <c r="A5" s="4" t="s">
        <v>1</v>
      </c>
      <c r="B5" s="4" t="s">
        <v>22</v>
      </c>
      <c r="C5" s="4" t="s">
        <v>23</v>
      </c>
    </row>
    <row r="6" spans="1:3" ht="27" thickBot="1" x14ac:dyDescent="0.35">
      <c r="A6" s="3" t="s">
        <v>11</v>
      </c>
      <c r="B6" s="3">
        <f>COUNTIFS(ticket!$D:$D, $A6, ticket!$F:$F, 1)</f>
        <v>0</v>
      </c>
      <c r="C6" s="3">
        <f>COUNTIFS(ticket!$D:$D, $A6, ticket!$G:$G, 1)</f>
        <v>0</v>
      </c>
    </row>
    <row r="7" spans="1:3" ht="27" thickBot="1" x14ac:dyDescent="0.35">
      <c r="A7" s="3" t="s">
        <v>5</v>
      </c>
      <c r="B7" s="5">
        <f>COUNTIFS(ticket!$D:$D, $A7, ticket!$F:$F, 1)</f>
        <v>1</v>
      </c>
      <c r="C7" s="5">
        <f>COUNTIFS(ticket!$D:$D, $A7, ticket!$G:$G, 1)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D813-4CB9-48FD-AF7E-6162BDBEDEAF}">
  <dimension ref="A3:C6"/>
  <sheetViews>
    <sheetView workbookViewId="0">
      <selection activeCell="B9" sqref="B9"/>
    </sheetView>
  </sheetViews>
  <sheetFormatPr defaultRowHeight="14.4" x14ac:dyDescent="0.3"/>
  <cols>
    <col min="1" max="1" width="23.21875" customWidth="1"/>
    <col min="2" max="2" width="25.33203125" customWidth="1"/>
    <col min="3" max="3" width="23" customWidth="1"/>
  </cols>
  <sheetData>
    <row r="3" spans="1:3" x14ac:dyDescent="0.3">
      <c r="A3" s="16" t="s">
        <v>20</v>
      </c>
      <c r="B3" s="17" t="s">
        <v>24</v>
      </c>
      <c r="C3" s="17" t="s">
        <v>25</v>
      </c>
    </row>
    <row r="4" spans="1:3" x14ac:dyDescent="0.3">
      <c r="A4" s="17" t="s">
        <v>5</v>
      </c>
      <c r="B4" s="17">
        <v>1</v>
      </c>
      <c r="C4" s="17">
        <v>0</v>
      </c>
    </row>
    <row r="5" spans="1:3" x14ac:dyDescent="0.3">
      <c r="A5" s="17" t="s">
        <v>11</v>
      </c>
      <c r="B5" s="17">
        <v>0</v>
      </c>
      <c r="C5" s="17">
        <v>0</v>
      </c>
    </row>
    <row r="6" spans="1:3" x14ac:dyDescent="0.3">
      <c r="A6" s="17" t="s">
        <v>21</v>
      </c>
      <c r="B6" s="17">
        <v>1</v>
      </c>
      <c r="C6" s="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1F0B-01B0-4F3F-84B0-3503B8837AF7}">
  <dimension ref="A1:G5"/>
  <sheetViews>
    <sheetView workbookViewId="0">
      <selection activeCell="E14" sqref="E14"/>
    </sheetView>
  </sheetViews>
  <sheetFormatPr defaultRowHeight="14.4" x14ac:dyDescent="0.3"/>
  <cols>
    <col min="1" max="1" width="19.5546875" style="4" customWidth="1"/>
    <col min="2" max="2" width="28.33203125" style="4" customWidth="1"/>
    <col min="3" max="3" width="35" style="4" customWidth="1"/>
    <col min="4" max="4" width="28.88671875" style="4" customWidth="1"/>
    <col min="5" max="5" width="22.44140625" style="4" customWidth="1"/>
    <col min="6" max="6" width="21.6640625" style="4" customWidth="1"/>
    <col min="7" max="7" width="20.33203125" style="4" customWidth="1"/>
  </cols>
  <sheetData>
    <row r="1" spans="1:7" ht="27" thickBot="1" x14ac:dyDescent="0.35">
      <c r="A1" s="6" t="s">
        <v>6</v>
      </c>
      <c r="B1" s="9" t="s">
        <v>7</v>
      </c>
      <c r="C1" s="9" t="s">
        <v>8</v>
      </c>
      <c r="D1" s="9" t="s">
        <v>9</v>
      </c>
      <c r="E1" s="11" t="s">
        <v>2</v>
      </c>
      <c r="F1" s="9" t="s">
        <v>18</v>
      </c>
      <c r="G1" s="9" t="s">
        <v>19</v>
      </c>
    </row>
    <row r="2" spans="1:7" ht="15" thickBot="1" x14ac:dyDescent="0.35">
      <c r="A2" s="13" t="s">
        <v>10</v>
      </c>
      <c r="B2" s="2">
        <v>44427.698414351849</v>
      </c>
      <c r="C2" s="2">
        <v>44430.523287037038</v>
      </c>
      <c r="D2" s="1" t="s">
        <v>3</v>
      </c>
      <c r="E2" s="14" t="s">
        <v>4</v>
      </c>
      <c r="F2" s="1">
        <f>--(INT(B2)=INT(C2))</f>
        <v>0</v>
      </c>
      <c r="G2" s="13">
        <f>--(AND(INT(B2)=INT(C2), HOUR(B2)=HOUR(C2)))</f>
        <v>0</v>
      </c>
    </row>
    <row r="3" spans="1:7" ht="15" thickBot="1" x14ac:dyDescent="0.35">
      <c r="A3" s="13" t="s">
        <v>12</v>
      </c>
      <c r="B3" s="2">
        <v>44429.464837962965</v>
      </c>
      <c r="C3" s="2">
        <v>44429.717881944445</v>
      </c>
      <c r="D3" s="1" t="s">
        <v>5</v>
      </c>
      <c r="E3" s="15" t="s">
        <v>26</v>
      </c>
      <c r="F3" s="1">
        <f>--(INT(B3)=INT(C3))</f>
        <v>1</v>
      </c>
      <c r="G3" s="13">
        <f>--(AND(INT(B3)=INT(C3), HOUR(B3)=HOUR(C3)))</f>
        <v>0</v>
      </c>
    </row>
    <row r="5" spans="1:7" ht="21.6" customHeigh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EFA4-4A53-4416-8B3B-6DD812B8F993}">
  <dimension ref="A1:D3"/>
  <sheetViews>
    <sheetView tabSelected="1" workbookViewId="0">
      <selection activeCell="D6" sqref="D6"/>
    </sheetView>
  </sheetViews>
  <sheetFormatPr defaultRowHeight="14.4" x14ac:dyDescent="0.3"/>
  <cols>
    <col min="1" max="1" width="22.109375" style="4" customWidth="1"/>
    <col min="2" max="2" width="21.5546875" style="4" customWidth="1"/>
    <col min="3" max="3" width="17.33203125" style="4" customWidth="1"/>
    <col min="4" max="4" width="32.21875" style="4" customWidth="1"/>
  </cols>
  <sheetData>
    <row r="1" spans="1:4" ht="15" thickBot="1" x14ac:dyDescent="0.35">
      <c r="A1" s="6" t="s">
        <v>2</v>
      </c>
      <c r="B1" s="9" t="s">
        <v>14</v>
      </c>
      <c r="C1" s="9" t="s">
        <v>15</v>
      </c>
      <c r="D1" s="11" t="s">
        <v>0</v>
      </c>
    </row>
    <row r="2" spans="1:4" ht="15" thickBot="1" x14ac:dyDescent="0.35">
      <c r="A2" s="7" t="s">
        <v>4</v>
      </c>
      <c r="B2" s="1" t="s">
        <v>16</v>
      </c>
      <c r="C2" s="1" t="s">
        <v>17</v>
      </c>
      <c r="D2" s="12">
        <f xml:space="preserve">
INDEX(ticket!$B:$B,MATCH($A2,ticket!$E:$E,0))</f>
        <v>44427.698414351849</v>
      </c>
    </row>
    <row r="3" spans="1:4" ht="15" thickBot="1" x14ac:dyDescent="0.35">
      <c r="A3" s="8" t="s">
        <v>26</v>
      </c>
      <c r="B3" s="10" t="s">
        <v>13</v>
      </c>
      <c r="C3" s="10" t="s">
        <v>13</v>
      </c>
      <c r="D3" s="12">
        <f xml:space="preserve">
INDEX(ticket!$B:$B,MATCH($A3,ticket!$E:$E,0))</f>
        <v>44429.464837962965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Pivot Table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 KUDULLA</dc:creator>
  <cp:lastModifiedBy>MANEESH KUDULLA</cp:lastModifiedBy>
  <dcterms:created xsi:type="dcterms:W3CDTF">2025-12-02T11:06:27Z</dcterms:created>
  <dcterms:modified xsi:type="dcterms:W3CDTF">2026-04-08T16:08:29Z</dcterms:modified>
</cp:coreProperties>
</file>